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621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584C010D-BE54-1446-B180-9BCE5A530B38}" xr6:coauthVersionLast="47" xr6:coauthVersionMax="47" xr10:uidLastSave="{00000000-0000-0000-0000-000000000000}"/>
  <bookViews>
    <workbookView xWindow="0" yWindow="660" windowWidth="29920" windowHeight="19340" tabRatio="666" activeTab="6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<sst xmlns="http://schemas.openxmlformats.org/spreadsheetml/2006/main" count="304" uniqueCount="50">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</sst>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topLeftCell="A2" zoomScale="110" zoomScaleNormal="70" zoomScalePageLayoutView="110" workbookViewId="0">
      <selection activeCell="F33" sqref="F33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1"/>
      <c r="I2" s="91"/>
      <c r="J2" s="91"/>
      <c r="K2" s="91"/>
      <c r="L2" s="91"/>
      <c r="M2" s="91"/>
      <c r="N2" s="91"/>
      <c r="O2" s="91"/>
      <c r="R2" s="36"/>
      <c r="U2" s="36"/>
      <c r="X2" s="36"/>
    </row>
    <row r="3" spans="1:34" ht="24.75" customHeight="1">
      <c r="A3" s="90" t="s">
        <v>0</v>
      </c>
      <c r="B3" s="90"/>
      <c r="C3" s="90"/>
      <c r="D3" s="90"/>
      <c r="E3" s="90"/>
      <c r="F3" s="90"/>
      <c r="G3" s="90"/>
      <c r="H3" s="90"/>
      <c r="I3" s="90"/>
      <c r="J3" s="90"/>
      <c r="K3" s="90"/>
      <c r="L3" s="90"/>
      <c r="M3" s="90"/>
      <c r="N3" s="90"/>
      <c r="O3" s="90"/>
    </row>
    <row r="4" spans="1:34" ht="15" customHeight="1">
      <c r="A4" s="90"/>
      <c r="B4" s="90"/>
      <c r="C4" s="90"/>
      <c r="D4" s="90"/>
      <c r="E4" s="90"/>
      <c r="F4" s="90"/>
      <c r="G4" s="90"/>
      <c r="H4" s="90"/>
      <c r="I4" s="90"/>
      <c r="J4" s="90"/>
      <c r="K4" s="90"/>
      <c r="L4" s="90"/>
      <c r="M4" s="90"/>
      <c r="N4" s="90"/>
      <c r="O4" s="90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87" t="s">
        <v>48</v>
      </c>
      <c r="F7" s="88"/>
      <c r="G7" s="88"/>
      <c r="H7" s="88"/>
      <c r="I7" s="88"/>
      <c r="J7" s="88"/>
      <c r="K7" s="89"/>
      <c r="L7" s="79"/>
      <c r="AH7" s="2"/>
    </row>
    <row r="8" spans="1:34" ht="15" customHeight="1">
      <c r="B8" s="78" t="s">
        <v>3</v>
      </c>
      <c r="E8" s="87" t="s">
        <v>47</v>
      </c>
      <c r="F8" s="88"/>
      <c r="G8" s="88"/>
      <c r="H8" s="88"/>
      <c r="I8" s="88"/>
      <c r="J8" s="88"/>
      <c r="K8" s="89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108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596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108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596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7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92" t="s">
        <v>36</v>
      </c>
      <c r="D8" s="93"/>
      <c r="E8" s="93"/>
      <c r="F8" s="93"/>
      <c r="G8" s="93"/>
      <c r="H8" s="93"/>
      <c r="I8" s="93"/>
      <c r="J8" s="94"/>
    </row>
    <row r="9" spans="1:37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1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92" t="s">
        <v>37</v>
      </c>
      <c r="D8" s="93"/>
      <c r="E8" s="93"/>
      <c r="F8" s="93"/>
      <c r="G8" s="93"/>
      <c r="H8" s="93"/>
      <c r="I8" s="93"/>
      <c r="J8" s="94"/>
    </row>
    <row r="9" spans="1:31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38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39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8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 t="s">
        <v>40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tabSelected="1" view="pageLayout" topLeftCell="P5" zoomScale="177" zoomScaleNormal="70" zoomScalePageLayoutView="177" workbookViewId="0">
      <selection activeCell="AE16" sqref="AE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9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>
        <v>4</v>
      </c>
      <c r="P14" s="16">
        <v>6</v>
      </c>
      <c r="Q14" s="17">
        <v>5</v>
      </c>
      <c r="R14" s="17">
        <v>5</v>
      </c>
      <c r="S14" s="17">
        <v>6</v>
      </c>
      <c r="T14" s="17">
        <v>6</v>
      </c>
      <c r="U14" s="17">
        <v>4</v>
      </c>
      <c r="V14" s="18">
        <v>3</v>
      </c>
      <c r="W14" s="16">
        <v>3</v>
      </c>
      <c r="X14" s="17">
        <v>4</v>
      </c>
      <c r="Y14" s="17">
        <v>2</v>
      </c>
      <c r="Z14" s="17">
        <v>2</v>
      </c>
      <c r="AA14" s="17">
        <v>4</v>
      </c>
      <c r="AB14" s="17">
        <v>4</v>
      </c>
      <c r="AC14" s="18">
        <v>4</v>
      </c>
      <c r="AD14" s="16">
        <v>2</v>
      </c>
      <c r="AE14" s="17">
        <v>6</v>
      </c>
      <c r="AF14" s="20"/>
      <c r="AG14" s="43">
        <f t="shared" ref="AG14:AG30" si="0">SUM(C14:AF14)</f>
        <v>108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10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41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42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45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3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92" t="s">
        <v>44</v>
      </c>
      <c r="D8" s="93"/>
      <c r="E8" s="93"/>
      <c r="F8" s="93"/>
      <c r="G8" s="93"/>
      <c r="H8" s="93"/>
      <c r="I8" s="93"/>
      <c r="J8" s="94"/>
    </row>
    <row r="9" spans="1:33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92" t="str">
        <f>Overview!E7</f>
        <v>Filippo Margiotta | 265126642</v>
      </c>
      <c r="D5" s="93"/>
      <c r="E5" s="93"/>
      <c r="F5" s="93"/>
      <c r="G5" s="93"/>
      <c r="H5" s="93"/>
      <c r="I5" s="93"/>
      <c r="J5" s="94"/>
    </row>
    <row r="6" spans="1:34" ht="15" customHeight="1">
      <c r="A6" s="78" t="s">
        <v>3</v>
      </c>
      <c r="B6" s="78"/>
      <c r="C6" s="92" t="str">
        <f>Overview!E8</f>
        <v>Director / Architect</v>
      </c>
      <c r="D6" s="93"/>
      <c r="E6" s="93"/>
      <c r="F6" s="93"/>
      <c r="G6" s="93"/>
      <c r="H6" s="93"/>
      <c r="I6" s="93"/>
      <c r="J6" s="94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92" t="s">
        <v>43</v>
      </c>
      <c r="D8" s="93"/>
      <c r="E8" s="93"/>
      <c r="F8" s="93"/>
      <c r="G8" s="93"/>
      <c r="H8" s="93"/>
      <c r="I8" s="93"/>
      <c r="J8" s="94"/>
    </row>
    <row r="9" spans="1:34" ht="15" customHeight="1">
      <c r="A9" s="77" t="s">
        <v>20</v>
      </c>
      <c r="B9" s="78"/>
      <c r="C9" s="92">
        <v>2026</v>
      </c>
      <c r="D9" s="93"/>
      <c r="E9" s="93"/>
      <c r="F9" s="93"/>
      <c r="G9" s="93"/>
      <c r="H9" s="93"/>
      <c r="I9" s="93"/>
      <c r="J9" s="94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2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2026-06-29T22:54:18Z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